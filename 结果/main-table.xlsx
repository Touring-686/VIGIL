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460"/>
  </bookViews>
  <sheets>
    <sheet name="main-table" sheetId="1" r:id="rId1"/>
    <sheet name="消融" sheetId="2" r:id="rId2"/>
    <sheet name="敏感性分析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<sst xmlns="http://schemas.openxmlformats.org/spreadsheetml/2006/main" count="86" uniqueCount="44">
  <si>
    <t>model</t>
  </si>
  <si>
    <t>Attacks</t>
  </si>
  <si>
    <t>data-stream-attack</t>
  </si>
  <si>
    <t>Non-attack</t>
  </si>
  <si>
    <t>parameter override</t>
  </si>
  <si>
    <t>type-I-B</t>
  </si>
  <si>
    <t>type-II</t>
  </si>
  <si>
    <t>type-III-A</t>
  </si>
  <si>
    <t>type-III-B(150)</t>
  </si>
  <si>
    <t>overall</t>
  </si>
  <si>
    <t>UA-cnt</t>
  </si>
  <si>
    <t>ASR-cnt</t>
  </si>
  <si>
    <t>all</t>
  </si>
  <si>
    <t>UA</t>
  </si>
  <si>
    <t>ASR</t>
  </si>
  <si>
    <t>total</t>
  </si>
  <si>
    <t>BU</t>
  </si>
  <si>
    <t>BU-true</t>
  </si>
  <si>
    <t>BU-all</t>
  </si>
  <si>
    <t>qwen3-max</t>
  </si>
  <si>
    <t>prompt-base</t>
  </si>
  <si>
    <t>Vanilla ReAct</t>
  </si>
  <si>
    <t>31.33%(47/150)</t>
  </si>
  <si>
    <t>66.67%(101/150)</t>
  </si>
  <si>
    <t>Spotlighting</t>
  </si>
  <si>
    <t>DeBERTa</t>
  </si>
  <si>
    <t>statistic method</t>
  </si>
  <si>
    <t>tool-filter</t>
  </si>
  <si>
    <t>ACE</t>
  </si>
  <si>
    <t>dynamic method</t>
  </si>
  <si>
    <t>MELON（ICML-25）</t>
  </si>
  <si>
    <t>DRIFT（NIPS-25）</t>
  </si>
  <si>
    <t>在跑</t>
  </si>
  <si>
    <t>ours</t>
  </si>
  <si>
    <t>VIGIL</t>
  </si>
  <si>
    <t>25%(4/16)</t>
  </si>
  <si>
    <t>0(0/16)</t>
  </si>
  <si>
    <t>31.25%(10/32)</t>
  </si>
  <si>
    <t>12.5%(4/32)</t>
  </si>
  <si>
    <t>21.88%(7/32)</t>
  </si>
  <si>
    <t>50% (16/32)</t>
  </si>
  <si>
    <t>32.05%(25/78)</t>
  </si>
  <si>
    <t>19.23%(5/26)0</t>
  </si>
  <si>
    <t>Gemini-2.5-pro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</si>
</sst>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9"/>
      <color rgb="FF333333"/>
      <name val="宋体"/>
      <charset val="134"/>
      <scheme val="minor"/>
    </font>
    <font>
      <sz val="11"/>
      <color theme="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0" fontId="0" fillId="0" borderId="0" xfId="0" applyNumberFormat="1">
      <alignment vertical="center"/>
    </xf>
    <xf numFmtId="10" fontId="1" fillId="0" borderId="0" xfId="0" applyNumberFormat="1" applyFont="1" applyFill="1">
      <alignment vertical="center"/>
    </xf>
    <xf numFmtId="9" fontId="1" fillId="0" borderId="0" xfId="0" applyNumberFormat="1" applyFont="1" applyFill="1">
      <alignment vertical="center"/>
    </xf>
    <xf numFmtId="10" fontId="2" fillId="0" borderId="0" xfId="0" applyNumberFormat="1" applyFont="1">
      <alignment vertical="center"/>
    </xf>
    <xf numFmtId="9" fontId="0" fillId="0" borderId="0" xfId="0" applyNumberFormat="1">
      <alignment vertical="center"/>
    </xf>
    <xf numFmtId="0" fontId="1" fillId="0" borderId="0" xfId="0" applyFont="1" applyFill="1">
      <alignment vertical="center"/>
    </xf>
    <xf numFmtId="10" fontId="0" fillId="2" borderId="0" xfId="0" applyNumberFormat="1" applyFill="1">
      <alignment vertical="center"/>
    </xf>
    <xf numFmtId="0" fontId="0" fillId="2" borderId="0" xfId="0" applyFill="1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10" fontId="0" fillId="0" borderId="2" xfId="0" applyNumberFormat="1" applyBorder="1">
      <alignment vertical="center"/>
    </xf>
    <xf numFmtId="0" fontId="1" fillId="0" borderId="2" xfId="0" applyFont="1" applyFill="1" applyBorder="1">
      <alignment vertical="center"/>
    </xf>
    <xf numFmtId="0" fontId="3" fillId="0" borderId="0" xfId="0" applyFont="1" applyFill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1"/>
  <sheetViews>
    <sheetView tabSelected="1" zoomScale="97" zoomScaleNormal="97" topLeftCell="T1" workbookViewId="0">
      <selection activeCell="AK10" sqref="AK10"/>
    </sheetView>
  </sheetViews>
  <sheetFormatPr defaultColWidth="9.23076923076923" defaultRowHeight="16.8"/>
  <cols>
    <col min="1" max="1" width="14.7307692307692" customWidth="1"/>
    <col min="2" max="2" width="21.1442307692308" customWidth="1"/>
    <col min="3" max="6" width="20.6730769230769" customWidth="1"/>
    <col min="7" max="7" width="10.3076923076923"/>
    <col min="8" max="8" width="12.5096153846154" customWidth="1"/>
    <col min="9" max="12" width="12.8461538461538" customWidth="1"/>
    <col min="13" max="13" width="13.5096153846154" customWidth="1"/>
    <col min="14" max="17" width="14.1826923076923" customWidth="1"/>
    <col min="18" max="18" width="14.1730769230769" customWidth="1"/>
    <col min="19" max="22" width="13.3461538461538" customWidth="1"/>
    <col min="24" max="27" width="11.5096153846154" customWidth="1"/>
    <col min="28" max="28" width="12.6730769230769" customWidth="1"/>
    <col min="34" max="34" width="9.61538461538461"/>
    <col min="36" max="39" width="12.9230769230769"/>
  </cols>
  <sheetData>
    <row r="1" spans="1:41">
      <c r="A1" s="1" t="s">
        <v>0</v>
      </c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2</v>
      </c>
      <c r="AI1" s="1"/>
      <c r="AJ1" s="1"/>
      <c r="AK1" s="1"/>
      <c r="AL1" s="1"/>
      <c r="AM1" s="1" t="s">
        <v>3</v>
      </c>
      <c r="AN1" s="1"/>
      <c r="AO1" s="1"/>
    </row>
    <row r="2" spans="1:41">
      <c r="D2" s="1" t="s">
        <v>4</v>
      </c>
      <c r="E2" s="1"/>
      <c r="F2" s="1"/>
      <c r="G2" s="1"/>
      <c r="H2" s="1"/>
      <c r="I2" s="1" t="s">
        <v>5</v>
      </c>
      <c r="J2" s="1"/>
      <c r="K2" s="1"/>
      <c r="L2" s="1"/>
      <c r="M2" s="1"/>
      <c r="N2" s="1" t="s">
        <v>6</v>
      </c>
      <c r="O2" s="1"/>
      <c r="P2" s="1"/>
      <c r="Q2" s="1"/>
      <c r="R2" s="1"/>
      <c r="S2" s="1" t="s">
        <v>7</v>
      </c>
      <c r="T2" s="1"/>
      <c r="U2" s="1"/>
      <c r="V2" s="1"/>
      <c r="W2" s="1"/>
      <c r="X2" s="1" t="s">
        <v>8</v>
      </c>
      <c r="Y2" s="1"/>
      <c r="Z2" s="1"/>
      <c r="AA2" s="1"/>
      <c r="AB2" s="1"/>
      <c r="AC2" s="1" t="s">
        <v>9</v>
      </c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10</v>
      </c>
      <c r="O3" s="1" t="s">
        <v>11</v>
      </c>
      <c r="P3" s="1" t="s">
        <v>12</v>
      </c>
      <c r="Q3" s="1" t="s">
        <v>13</v>
      </c>
      <c r="R3" s="1" t="s">
        <v>14</v>
      </c>
      <c r="S3" s="1" t="s">
        <v>10</v>
      </c>
      <c r="T3" s="1" t="s">
        <v>11</v>
      </c>
      <c r="U3" s="1" t="s">
        <v>12</v>
      </c>
      <c r="V3" s="1" t="s">
        <v>13</v>
      </c>
      <c r="W3" s="1" t="s">
        <v>14</v>
      </c>
      <c r="X3" s="1" t="s">
        <v>10</v>
      </c>
      <c r="Y3" s="1" t="s">
        <v>11</v>
      </c>
      <c r="Z3" s="1" t="s">
        <v>12</v>
      </c>
      <c r="AA3" s="1" t="s">
        <v>13</v>
      </c>
      <c r="AB3" s="1" t="s">
        <v>14</v>
      </c>
      <c r="AC3" s="1" t="s">
        <v>10</v>
      </c>
      <c r="AD3" s="1" t="s">
        <v>11</v>
      </c>
      <c r="AE3" s="1" t="s">
        <v>12</v>
      </c>
      <c r="AF3" s="1" t="s">
        <v>13</v>
      </c>
      <c r="AG3" s="1" t="s">
        <v>14</v>
      </c>
      <c r="AH3" s="1" t="s">
        <v>13</v>
      </c>
      <c r="AI3" s="1" t="s">
        <v>14</v>
      </c>
      <c r="AJ3" s="2" t="s">
        <v>10</v>
      </c>
      <c r="AK3" s="2" t="s">
        <v>11</v>
      </c>
      <c r="AL3" s="2" t="s">
        <v>15</v>
      </c>
      <c r="AM3" s="2" t="s">
        <v>16</v>
      </c>
      <c r="AN3" s="2" t="s">
        <v>17</v>
      </c>
      <c r="AO3" t="s">
        <v>18</v>
      </c>
    </row>
    <row r="4" spans="1:41">
      <c r="A4" s="1" t="s">
        <v>19</v>
      </c>
      <c r="B4" s="1" t="s">
        <v>20</v>
      </c>
      <c r="C4" t="s">
        <v>21</v>
      </c>
      <c r="G4" s="3">
        <v>0.1839</v>
      </c>
      <c r="H4" s="3">
        <v>0.8851</v>
      </c>
      <c r="I4" s="3"/>
      <c r="J4" s="3"/>
      <c r="K4" s="3"/>
      <c r="L4" s="3">
        <v>0.462</v>
      </c>
      <c r="M4" s="3">
        <v>0.712</v>
      </c>
      <c r="N4" s="3"/>
      <c r="O4" s="3"/>
      <c r="P4" s="3"/>
      <c r="Q4" s="3">
        <v>0.3966</v>
      </c>
      <c r="R4" s="3">
        <v>0.6536</v>
      </c>
      <c r="S4" s="3"/>
      <c r="T4" s="3"/>
      <c r="U4" s="3"/>
      <c r="V4" s="3">
        <v>0.1765</v>
      </c>
      <c r="W4" s="3">
        <v>0.7537</v>
      </c>
      <c r="X4" s="4"/>
      <c r="Y4" s="4"/>
      <c r="Z4" s="4"/>
      <c r="AA4" s="4" t="s">
        <v>22</v>
      </c>
      <c r="AB4" s="5" t="s">
        <v>23</v>
      </c>
      <c r="AC4" s="3">
        <f>D4+I4+N4+S4+X4</f>
        <v>0</v>
      </c>
      <c r="AD4" s="3">
        <f t="shared" ref="AD4:AD9" si="0">E4+J4+O4+T4+Y4</f>
        <v>0</v>
      </c>
      <c r="AE4" s="3">
        <f>F4+K4+P4+U4+Z4</f>
        <v>0</v>
      </c>
      <c r="AF4" s="3">
        <v>0.2951</v>
      </c>
      <c r="AG4" s="3">
        <v>0.7383</v>
      </c>
      <c r="AH4" s="3" t="e">
        <f>AJ4/AL4</f>
        <v>#DIV/0!</v>
      </c>
      <c r="AI4" s="6">
        <v>0.4056</v>
      </c>
      <c r="AJ4" s="3"/>
      <c r="AK4" s="3"/>
      <c r="AL4" s="3"/>
      <c r="AM4" s="3">
        <f>AN4/AO4</f>
        <v>0.795918367346939</v>
      </c>
      <c r="AN4">
        <v>78</v>
      </c>
      <c r="AO4">
        <v>98</v>
      </c>
    </row>
    <row r="5" spans="1:41">
      <c r="A5" s="1"/>
      <c r="B5" s="1"/>
      <c r="C5" t="s">
        <v>24</v>
      </c>
      <c r="G5" s="3">
        <v>0.1839</v>
      </c>
      <c r="H5" s="3">
        <v>0.885</v>
      </c>
      <c r="I5" s="3"/>
      <c r="J5" s="3"/>
      <c r="K5" s="3"/>
      <c r="L5" s="3">
        <v>0.7174</v>
      </c>
      <c r="M5" s="3">
        <v>0.4022</v>
      </c>
      <c r="N5" s="3"/>
      <c r="O5" s="3"/>
      <c r="P5" s="3"/>
      <c r="Q5" s="3">
        <v>0.397</v>
      </c>
      <c r="R5" s="3">
        <v>0.6683</v>
      </c>
      <c r="S5" s="3"/>
      <c r="T5" s="3"/>
      <c r="U5" s="3"/>
      <c r="V5" s="3">
        <v>0.1751</v>
      </c>
      <c r="W5" s="3">
        <v>0.6226</v>
      </c>
      <c r="X5" s="5"/>
      <c r="Y5" s="5"/>
      <c r="Z5" s="5"/>
      <c r="AA5" s="5">
        <v>0.1</v>
      </c>
      <c r="AB5" s="5">
        <v>0.6</v>
      </c>
      <c r="AC5" s="3">
        <f t="shared" ref="AC4:AC19" si="1">D5+I5+N5+S5+X5</f>
        <v>0</v>
      </c>
      <c r="AD5" s="3">
        <f t="shared" si="0"/>
        <v>0</v>
      </c>
      <c r="AE5" s="3">
        <f>F5+K5+P5+U5+Z5</f>
        <v>0</v>
      </c>
      <c r="AF5" s="3">
        <v>0.3143</v>
      </c>
      <c r="AG5" s="3">
        <v>0.6338</v>
      </c>
      <c r="AH5" s="3">
        <v>0.5943</v>
      </c>
      <c r="AI5" s="3">
        <v>0.3541</v>
      </c>
      <c r="AJ5" s="3"/>
      <c r="AK5" s="3"/>
      <c r="AL5" s="3"/>
      <c r="AM5" s="3">
        <f>AN5/AO5</f>
        <v>0.775510204081633</v>
      </c>
      <c r="AN5">
        <v>76</v>
      </c>
      <c r="AO5">
        <v>98</v>
      </c>
    </row>
    <row r="6" spans="1:41">
      <c r="A6" s="1"/>
      <c r="B6" s="1"/>
      <c r="C6" t="s">
        <v>25</v>
      </c>
      <c r="G6" s="3">
        <v>0.1034</v>
      </c>
      <c r="H6" s="3">
        <v>0.9023</v>
      </c>
      <c r="I6" s="3"/>
      <c r="J6" s="3"/>
      <c r="K6" s="3"/>
      <c r="L6" s="3">
        <v>0.237</v>
      </c>
      <c r="M6" s="3">
        <v>0.6519</v>
      </c>
      <c r="N6" s="3"/>
      <c r="O6" s="3"/>
      <c r="P6" s="3"/>
      <c r="Q6" s="3">
        <v>0.2308</v>
      </c>
      <c r="R6" s="3">
        <v>0.6713</v>
      </c>
      <c r="S6" s="3"/>
      <c r="T6" s="3"/>
      <c r="U6" s="3"/>
      <c r="V6" s="3">
        <v>0.1577</v>
      </c>
      <c r="W6" s="3">
        <v>0.0747</v>
      </c>
      <c r="X6" s="4"/>
      <c r="Y6" s="4"/>
      <c r="Z6" s="4"/>
      <c r="AA6" s="4">
        <v>0.0583</v>
      </c>
      <c r="AB6" s="4">
        <v>0.325</v>
      </c>
      <c r="AC6" s="3">
        <f t="shared" si="1"/>
        <v>0</v>
      </c>
      <c r="AD6" s="3">
        <f t="shared" si="0"/>
        <v>0</v>
      </c>
      <c r="AE6" s="3">
        <f t="shared" ref="AE6:AE19" si="2">F6+K6+P6+U6+Z6</f>
        <v>0</v>
      </c>
      <c r="AF6" s="3">
        <v>0.1572</v>
      </c>
      <c r="AG6" s="3">
        <v>0.4889</v>
      </c>
      <c r="AH6" s="3">
        <v>0.2982</v>
      </c>
      <c r="AI6" s="3">
        <v>0.0948</v>
      </c>
      <c r="AJ6" s="3"/>
      <c r="AK6" s="3"/>
      <c r="AL6" s="3"/>
      <c r="AM6" s="3">
        <f>AN6/AO6</f>
        <v>0.438775510204082</v>
      </c>
      <c r="AN6">
        <v>43</v>
      </c>
      <c r="AO6">
        <v>98</v>
      </c>
    </row>
    <row r="7" spans="1:41">
      <c r="A7" s="1"/>
      <c r="B7" s="1" t="s">
        <v>26</v>
      </c>
      <c r="C7" t="s">
        <v>27</v>
      </c>
      <c r="G7" s="3">
        <v>0.0345</v>
      </c>
      <c r="H7" s="3">
        <v>0.049</v>
      </c>
      <c r="I7" s="3"/>
      <c r="J7" s="3"/>
      <c r="K7" s="3"/>
      <c r="L7" s="3">
        <v>0.0167</v>
      </c>
      <c r="M7" s="7">
        <v>0</v>
      </c>
      <c r="N7" s="3"/>
      <c r="O7" s="3"/>
      <c r="P7" s="3"/>
      <c r="Q7" s="3">
        <v>0.0286</v>
      </c>
      <c r="R7" s="3">
        <v>0.0286</v>
      </c>
      <c r="S7" s="3"/>
      <c r="T7" s="3"/>
      <c r="U7" s="3"/>
      <c r="V7" s="3">
        <v>0.0956</v>
      </c>
      <c r="W7" s="7">
        <v>0</v>
      </c>
      <c r="X7" s="5"/>
      <c r="Y7" s="5"/>
      <c r="Z7" s="5"/>
      <c r="AA7" s="5">
        <v>0.06</v>
      </c>
      <c r="AB7" s="4">
        <v>0.4333</v>
      </c>
      <c r="AC7" s="3">
        <f t="shared" si="1"/>
        <v>0</v>
      </c>
      <c r="AD7" s="3">
        <f t="shared" si="0"/>
        <v>0</v>
      </c>
      <c r="AE7" s="3">
        <f t="shared" si="2"/>
        <v>0</v>
      </c>
      <c r="AF7" s="3">
        <v>0.056</v>
      </c>
      <c r="AG7" s="3">
        <v>0.1876</v>
      </c>
      <c r="AH7" s="3">
        <v>0.0748</v>
      </c>
      <c r="AI7" s="3">
        <v>0.0011</v>
      </c>
      <c r="AJ7" s="3"/>
      <c r="AK7" s="3"/>
      <c r="AL7" s="3"/>
      <c r="AM7" s="3">
        <f>AN7/AO7</f>
        <v>0.459183673469388</v>
      </c>
      <c r="AN7">
        <v>45</v>
      </c>
      <c r="AO7">
        <v>98</v>
      </c>
    </row>
    <row r="8" spans="1:41">
      <c r="A8" s="1"/>
      <c r="B8" s="1"/>
      <c r="C8" t="s">
        <v>28</v>
      </c>
      <c r="X8" s="8"/>
      <c r="Y8" s="8"/>
      <c r="Z8" s="8"/>
      <c r="AA8" s="8"/>
      <c r="AB8" s="8"/>
      <c r="AC8" s="3">
        <f t="shared" si="1"/>
        <v>0</v>
      </c>
      <c r="AD8" s="3">
        <f t="shared" si="0"/>
        <v>0</v>
      </c>
      <c r="AE8" s="3">
        <f t="shared" si="2"/>
        <v>0</v>
      </c>
    </row>
    <row r="9" spans="1:41">
      <c r="A9" s="1"/>
      <c r="B9" s="1" t="s">
        <v>29</v>
      </c>
      <c r="C9" t="s">
        <v>30</v>
      </c>
      <c r="G9" s="3">
        <v>0.1494</v>
      </c>
      <c r="H9" s="3">
        <v>0.8793</v>
      </c>
      <c r="I9" s="3"/>
      <c r="J9" s="3"/>
      <c r="K9" s="3"/>
      <c r="L9" s="3">
        <v>0.5815</v>
      </c>
      <c r="M9" s="3">
        <v>0.375</v>
      </c>
      <c r="N9" s="3"/>
      <c r="O9" s="3"/>
      <c r="P9" s="3"/>
      <c r="Q9" s="3">
        <v>0.3743</v>
      </c>
      <c r="R9" s="3">
        <v>0.6145</v>
      </c>
      <c r="S9" s="3"/>
      <c r="T9" s="3"/>
      <c r="U9" s="3"/>
      <c r="V9" s="3">
        <v>0.1875</v>
      </c>
      <c r="W9" s="3">
        <v>0.0074</v>
      </c>
      <c r="X9" s="4"/>
      <c r="Y9" s="4"/>
      <c r="Z9" s="4"/>
      <c r="AA9" s="4">
        <v>0.0496</v>
      </c>
      <c r="AB9" s="4">
        <v>0.1488</v>
      </c>
      <c r="AC9" s="3">
        <f t="shared" si="1"/>
        <v>0</v>
      </c>
      <c r="AD9" s="3">
        <f t="shared" si="0"/>
        <v>0</v>
      </c>
      <c r="AE9" s="3">
        <f t="shared" si="2"/>
        <v>0</v>
      </c>
      <c r="AF9" s="3">
        <v>0.2763</v>
      </c>
      <c r="AG9" s="3">
        <v>0.3785</v>
      </c>
      <c r="AH9" s="3">
        <v>0.3519</v>
      </c>
      <c r="AI9" s="3">
        <v>0.0042</v>
      </c>
      <c r="AJ9" s="3"/>
      <c r="AK9" s="3"/>
      <c r="AL9" s="3"/>
      <c r="AM9" s="3">
        <f>AN9/AO9</f>
        <v>0.714285714285714</v>
      </c>
      <c r="AN9">
        <v>70</v>
      </c>
      <c r="AO9">
        <v>98</v>
      </c>
    </row>
    <row r="10" spans="1:41">
      <c r="A10" s="1"/>
      <c r="B10" s="1"/>
      <c r="C10" t="s">
        <v>31</v>
      </c>
      <c r="G10" s="3">
        <v>0.1092</v>
      </c>
      <c r="H10" s="3">
        <v>0.6207</v>
      </c>
      <c r="I10" s="3"/>
      <c r="J10" s="3"/>
      <c r="K10" s="3"/>
      <c r="L10" s="3">
        <v>0.3424</v>
      </c>
      <c r="M10" s="3">
        <v>0.2826</v>
      </c>
      <c r="N10" s="3"/>
      <c r="O10" s="3"/>
      <c r="P10" s="3"/>
      <c r="Q10" s="3">
        <v>0.2123</v>
      </c>
      <c r="R10" s="3">
        <v>0.648</v>
      </c>
      <c r="S10" s="3"/>
      <c r="T10" s="3"/>
      <c r="U10" s="3"/>
      <c r="V10" s="3">
        <v>0.1801</v>
      </c>
      <c r="W10" s="3">
        <v>0.0625</v>
      </c>
      <c r="X10" s="4"/>
      <c r="Y10" s="4"/>
      <c r="Z10" s="4"/>
      <c r="AA10" s="4">
        <v>0.124</v>
      </c>
      <c r="AB10" s="4">
        <v>0.124</v>
      </c>
      <c r="AC10" s="3">
        <f t="shared" si="1"/>
        <v>0</v>
      </c>
      <c r="AD10" s="3">
        <f t="shared" ref="AD10:AD19" si="3">E10+J10+O10+T10+Y10</f>
        <v>0</v>
      </c>
      <c r="AE10" s="3">
        <f t="shared" si="2"/>
        <v>0</v>
      </c>
      <c r="AF10" s="3">
        <v>0.1972</v>
      </c>
      <c r="AG10" s="3">
        <v>0.3294</v>
      </c>
      <c r="AH10" s="9">
        <v>0.5895</v>
      </c>
      <c r="AI10" s="10">
        <v>11.72</v>
      </c>
      <c r="AJ10" s="3" t="s">
        <v>32</v>
      </c>
      <c r="AK10" s="3" t="s">
        <v>32</v>
      </c>
      <c r="AL10" s="3"/>
      <c r="AM10" s="3">
        <f>AN10/AO10</f>
        <v>0.76530612244898</v>
      </c>
      <c r="AN10" s="11">
        <v>75</v>
      </c>
      <c r="AO10">
        <v>98</v>
      </c>
    </row>
    <row r="11" spans="1:41">
      <c r="A11" s="1"/>
      <c r="B11" s="1" t="s">
        <v>33</v>
      </c>
      <c r="C11" t="s">
        <v>34</v>
      </c>
      <c r="G11" s="7" t="s">
        <v>35</v>
      </c>
      <c r="H11" t="s">
        <v>36</v>
      </c>
      <c r="L11" t="s">
        <v>37</v>
      </c>
      <c r="M11" t="s">
        <v>38</v>
      </c>
      <c r="Q11" t="s">
        <v>39</v>
      </c>
      <c r="R11" s="7" t="s">
        <v>40</v>
      </c>
      <c r="S11" s="3"/>
      <c r="T11" s="3"/>
      <c r="U11" s="3"/>
      <c r="V11" s="3" t="s">
        <v>41</v>
      </c>
      <c r="W11">
        <v>0</v>
      </c>
      <c r="X11" s="8"/>
      <c r="Y11" s="8"/>
      <c r="Z11" s="8"/>
      <c r="AA11" s="8" t="s">
        <v>42</v>
      </c>
      <c r="AB11" s="8"/>
      <c r="AC11" s="3">
        <f t="shared" si="1"/>
        <v>0</v>
      </c>
      <c r="AD11" s="3">
        <f t="shared" si="3"/>
        <v>0</v>
      </c>
      <c r="AE11" s="3">
        <f t="shared" si="2"/>
        <v>0</v>
      </c>
      <c r="AH11" s="12">
        <v>0</v>
      </c>
      <c r="AI11" s="12">
        <v>0</v>
      </c>
      <c r="AM11">
        <f>AN11/AO11</f>
        <v>0.744897959183674</v>
      </c>
      <c r="AN11">
        <v>73</v>
      </c>
      <c r="AO11">
        <v>98</v>
      </c>
    </row>
    <row r="12" spans="1:41">
      <c r="A12" s="13" t="s">
        <v>43</v>
      </c>
      <c r="B12" s="13" t="s">
        <v>20</v>
      </c>
      <c r="C12" s="14" t="s">
        <v>21</v>
      </c>
      <c r="D12" s="14"/>
      <c r="E12" s="14"/>
      <c r="F12" s="14"/>
      <c r="G12" s="15">
        <v>0.1921</v>
      </c>
      <c r="H12" s="15">
        <v>0.5364</v>
      </c>
      <c r="I12" s="15"/>
      <c r="J12" s="15"/>
      <c r="K12" s="15"/>
      <c r="L12" s="15">
        <v>0.3152</v>
      </c>
      <c r="M12" s="15">
        <v>0.6957</v>
      </c>
      <c r="N12" s="15"/>
      <c r="O12" s="15"/>
      <c r="P12" s="15"/>
      <c r="Q12" s="15">
        <v>0.2626</v>
      </c>
      <c r="R12" s="15">
        <v>0.5419</v>
      </c>
      <c r="S12" s="15"/>
      <c r="T12" s="15"/>
      <c r="U12" s="15"/>
      <c r="V12" s="15">
        <v>0.1728</v>
      </c>
      <c r="W12" s="15">
        <v>0.5662</v>
      </c>
      <c r="X12" s="16"/>
      <c r="Y12" s="16"/>
      <c r="Z12" s="16"/>
      <c r="AA12" s="16"/>
      <c r="AB12" s="16"/>
      <c r="AC12" s="3">
        <f t="shared" si="1"/>
        <v>0</v>
      </c>
      <c r="AD12" s="3">
        <f t="shared" si="3"/>
        <v>0</v>
      </c>
      <c r="AE12" s="3">
        <f t="shared" si="2"/>
        <v>0</v>
      </c>
      <c r="AF12" s="14"/>
      <c r="AG12" s="14"/>
      <c r="AH12" s="3">
        <v>0.2881</v>
      </c>
      <c r="AI12" s="3">
        <v>0.1809</v>
      </c>
      <c r="AJ12" s="3"/>
      <c r="AK12" s="3"/>
      <c r="AL12" s="3"/>
      <c r="AM12" s="15">
        <v>0.6598</v>
      </c>
    </row>
    <row r="13" spans="1:41">
      <c r="A13" s="1"/>
      <c r="B13" s="1"/>
      <c r="C13" t="s">
        <v>24</v>
      </c>
      <c r="G13" s="3">
        <v>0.1494</v>
      </c>
      <c r="H13" s="3">
        <v>0.6207</v>
      </c>
      <c r="I13" s="3"/>
      <c r="J13" s="3"/>
      <c r="K13" s="3"/>
      <c r="L13" s="3">
        <v>0.3073</v>
      </c>
      <c r="M13" s="3">
        <v>0.7095</v>
      </c>
      <c r="N13" s="3"/>
      <c r="O13" s="3"/>
      <c r="P13" s="3"/>
      <c r="Q13" s="3">
        <v>0.2604</v>
      </c>
      <c r="R13" s="3">
        <v>0.5089</v>
      </c>
      <c r="S13" s="3"/>
      <c r="T13" s="3"/>
      <c r="U13" s="3"/>
      <c r="V13" s="3">
        <v>0.2674</v>
      </c>
      <c r="W13" s="3">
        <v>0.5174</v>
      </c>
      <c r="X13" s="8"/>
      <c r="Y13" s="8"/>
      <c r="Z13" s="8"/>
      <c r="AA13" s="8"/>
      <c r="AB13" s="8"/>
      <c r="AC13" s="3">
        <f t="shared" si="1"/>
        <v>0</v>
      </c>
      <c r="AD13" s="3">
        <f t="shared" si="3"/>
        <v>0</v>
      </c>
      <c r="AE13" s="3">
        <f t="shared" si="2"/>
        <v>0</v>
      </c>
      <c r="AH13" s="3">
        <v>0.2782</v>
      </c>
      <c r="AI13" s="3">
        <v>0.098</v>
      </c>
      <c r="AJ13" s="3"/>
      <c r="AK13" s="3"/>
      <c r="AL13" s="3"/>
      <c r="AM13" s="3">
        <v>0.7423</v>
      </c>
    </row>
    <row r="14" spans="1:41">
      <c r="A14" s="1"/>
      <c r="B14" s="1"/>
      <c r="C14" t="s">
        <v>25</v>
      </c>
      <c r="G14" s="3">
        <v>0.069</v>
      </c>
      <c r="H14">
        <v>58.62</v>
      </c>
      <c r="I14" s="3"/>
      <c r="J14" s="3"/>
      <c r="K14" s="3"/>
      <c r="L14" s="3">
        <v>0.1586</v>
      </c>
      <c r="M14" s="3">
        <v>0.4483</v>
      </c>
      <c r="N14" s="3"/>
      <c r="O14" s="3"/>
      <c r="P14" s="3"/>
      <c r="Q14" s="3">
        <v>0.1801</v>
      </c>
      <c r="R14" s="3">
        <v>0.4224</v>
      </c>
      <c r="S14" s="3"/>
      <c r="T14" s="3"/>
      <c r="U14" s="3"/>
      <c r="V14" s="3">
        <v>0.152</v>
      </c>
      <c r="W14" s="3">
        <v>0.096</v>
      </c>
      <c r="X14" s="8"/>
      <c r="Y14" s="8"/>
      <c r="Z14" s="8"/>
      <c r="AA14" s="8"/>
      <c r="AB14" s="8"/>
      <c r="AC14" s="3">
        <f t="shared" si="1"/>
        <v>0</v>
      </c>
      <c r="AD14" s="3">
        <f t="shared" si="3"/>
        <v>0</v>
      </c>
      <c r="AE14" s="3">
        <f t="shared" si="2"/>
        <v>0</v>
      </c>
      <c r="AH14" s="3">
        <v>0.1053</v>
      </c>
      <c r="AI14" s="3">
        <v>0.0149</v>
      </c>
      <c r="AJ14" s="3"/>
      <c r="AK14" s="3"/>
      <c r="AL14" s="3"/>
      <c r="AM14" s="3">
        <v>0.3505</v>
      </c>
    </row>
    <row r="15" spans="1:41">
      <c r="A15" s="1"/>
      <c r="B15" s="1" t="s">
        <v>26</v>
      </c>
      <c r="C15" t="s">
        <v>27</v>
      </c>
      <c r="X15" s="8"/>
      <c r="Y15" s="8"/>
      <c r="Z15" s="8"/>
      <c r="AA15" s="8"/>
      <c r="AB15" s="8"/>
      <c r="AC15" s="3">
        <f t="shared" si="1"/>
        <v>0</v>
      </c>
      <c r="AD15" s="3">
        <f t="shared" si="3"/>
        <v>0</v>
      </c>
      <c r="AE15" s="3">
        <f t="shared" si="2"/>
        <v>0</v>
      </c>
      <c r="AH15">
        <v>34.71</v>
      </c>
      <c r="AI15" s="3">
        <v>0.0235</v>
      </c>
      <c r="AJ15" s="4"/>
      <c r="AK15" s="4"/>
      <c r="AL15" s="4"/>
      <c r="AM15" s="4">
        <v>0.4948</v>
      </c>
    </row>
    <row r="16" spans="1:41">
      <c r="A16" s="1"/>
      <c r="B16" s="1"/>
      <c r="C16" t="s">
        <v>28</v>
      </c>
      <c r="X16" s="8"/>
      <c r="Y16" s="8"/>
      <c r="Z16" s="8"/>
      <c r="AA16" s="8"/>
      <c r="AB16" s="8"/>
      <c r="AC16" s="3">
        <f t="shared" si="1"/>
        <v>0</v>
      </c>
      <c r="AD16" s="3">
        <f t="shared" si="3"/>
        <v>0</v>
      </c>
      <c r="AE16" s="3">
        <f t="shared" si="2"/>
        <v>0</v>
      </c>
    </row>
    <row r="17" spans="1:41">
      <c r="A17" s="1"/>
      <c r="B17" s="1" t="s">
        <v>29</v>
      </c>
      <c r="C17" t="s">
        <v>30</v>
      </c>
      <c r="G17" s="3">
        <v>0.1118</v>
      </c>
      <c r="H17" s="3">
        <v>0.6335</v>
      </c>
      <c r="I17" s="3"/>
      <c r="J17" s="3"/>
      <c r="K17" s="3"/>
      <c r="L17" s="3">
        <v>0.2739</v>
      </c>
      <c r="M17" s="3">
        <v>0.6369</v>
      </c>
      <c r="N17" s="3"/>
      <c r="O17" s="3"/>
      <c r="P17" s="3"/>
      <c r="Q17" s="3">
        <v>0.2123</v>
      </c>
      <c r="R17" s="3">
        <v>0.4747</v>
      </c>
      <c r="S17" s="3"/>
      <c r="T17" s="3"/>
      <c r="U17" s="3"/>
      <c r="V17" s="3">
        <v>0.1635</v>
      </c>
      <c r="W17" s="3">
        <v>0.0394</v>
      </c>
      <c r="X17" s="8"/>
      <c r="Y17" s="8"/>
      <c r="Z17" s="8"/>
      <c r="AA17" s="8"/>
      <c r="AB17" s="8"/>
      <c r="AC17" s="3">
        <f t="shared" si="1"/>
        <v>0</v>
      </c>
      <c r="AD17" s="3">
        <f t="shared" si="3"/>
        <v>0</v>
      </c>
      <c r="AE17" s="3">
        <f t="shared" si="2"/>
        <v>0</v>
      </c>
      <c r="AH17" s="3">
        <v>0.1149</v>
      </c>
      <c r="AI17" s="3">
        <v>0.0042</v>
      </c>
      <c r="AJ17" s="3"/>
      <c r="AK17" s="3"/>
      <c r="AL17" s="3"/>
      <c r="AM17" s="3">
        <v>0.4433</v>
      </c>
    </row>
    <row r="18" spans="1:41">
      <c r="A18" s="1"/>
      <c r="B18" s="1"/>
      <c r="C18" t="s">
        <v>31</v>
      </c>
      <c r="X18" s="17"/>
      <c r="Y18" s="17"/>
      <c r="Z18" s="17"/>
      <c r="AA18" s="17"/>
      <c r="AB18" s="17"/>
      <c r="AC18" s="3">
        <f t="shared" si="1"/>
        <v>0</v>
      </c>
      <c r="AD18" s="3">
        <f t="shared" si="3"/>
        <v>0</v>
      </c>
      <c r="AE18" s="3">
        <f t="shared" si="2"/>
        <v>0</v>
      </c>
      <c r="AH18" s="3"/>
      <c r="AI18" s="3"/>
      <c r="AM18">
        <f>AN18/AO18</f>
        <v>0.551020408163265</v>
      </c>
      <c r="AN18">
        <v>54</v>
      </c>
      <c r="AO18">
        <v>98</v>
      </c>
    </row>
    <row r="19" spans="1:41">
      <c r="A19" s="1"/>
      <c r="B19" s="1" t="s">
        <v>33</v>
      </c>
      <c r="C19" t="s">
        <v>34</v>
      </c>
      <c r="X19" s="17"/>
      <c r="Y19" s="17"/>
      <c r="Z19" s="17"/>
      <c r="AA19" s="17"/>
      <c r="AB19" s="17"/>
      <c r="AC19" s="3">
        <f t="shared" si="1"/>
        <v>0</v>
      </c>
      <c r="AD19" s="3">
        <f t="shared" si="3"/>
        <v>0</v>
      </c>
      <c r="AE19" s="3">
        <f t="shared" si="2"/>
        <v>0</v>
      </c>
    </row>
    <row r="20" spans="1:41">
      <c r="X20" s="17"/>
      <c r="Y20" s="17"/>
      <c r="Z20" s="17"/>
      <c r="AA20" s="17"/>
      <c r="AB20" s="17"/>
    </row>
    <row r="21" spans="1:41">
      <c r="X21" s="18"/>
      <c r="Y21" s="18"/>
      <c r="Z21" s="18"/>
      <c r="AA21" s="18"/>
      <c r="AB21" s="18"/>
    </row>
  </sheetData>
  <mergeCells count="17">
    <mergeCell ref="G1:AG1"/>
    <mergeCell ref="D2:H2"/>
    <mergeCell ref="I2:M2"/>
    <mergeCell ref="N2:R2"/>
    <mergeCell ref="S2:W2"/>
    <mergeCell ref="X2:AB2"/>
    <mergeCell ref="AC2:AG2"/>
    <mergeCell ref="A4:A11"/>
    <mergeCell ref="A12:A19"/>
    <mergeCell ref="B4:B6"/>
    <mergeCell ref="B7:B8"/>
    <mergeCell ref="B9:B10"/>
    <mergeCell ref="B12:B14"/>
    <mergeCell ref="B15:B16"/>
    <mergeCell ref="B17:B18"/>
    <mergeCell ref="AH1:AI2"/>
    <mergeCell ref="AM1:AO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23076923076923" defaultRowHeight="16.8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23076923076923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main-table</vt:lpstr>
      <vt:lpstr>消融</vt:lpstr>
      <vt:lpstr>敏感性分析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</dc:creator>
  <cp:lastModifiedBy>justin</cp:lastModifiedBy>
  <dcterms:created xsi:type="dcterms:W3CDTF">2025-12-27T22:54:00Z</dcterms:created>
  <dcterms:modified xsi:type="dcterms:W3CDTF">2026-01-02T18:56:58Z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950D9423B628DABB0A504D690CCACF7F_41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